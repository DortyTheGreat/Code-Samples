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0100" windowHeight="8610"/>
  </bookViews>
  <sheets>
    <sheet name="Задание №5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E8" i="1" l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E3" i="1"/>
  <c r="E4" i="1"/>
</calcChain>
</file>

<file path=xl/sharedStrings.xml><?xml version="1.0" encoding="utf-8"?>
<sst xmlns="http://schemas.openxmlformats.org/spreadsheetml/2006/main" count="9" uniqueCount="9">
  <si>
    <t>X</t>
  </si>
  <si>
    <t>Y</t>
  </si>
  <si>
    <t>Границы</t>
  </si>
  <si>
    <t>X0=</t>
  </si>
  <si>
    <t>Шаг=</t>
  </si>
  <si>
    <t>Ответы на вопросы</t>
  </si>
  <si>
    <t>Колчество значений=</t>
  </si>
  <si>
    <t>Произведени значений=</t>
  </si>
  <si>
    <t>Выполнение задания №5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</si>
</sst>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2" xfId="0" applyFont="1" applyBorder="1"/>
    <xf numFmtId="0" fontId="1" fillId="0" borderId="0" xfId="0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38100</xdr:rowOff>
        </xdr:from>
        <xdr:to>
          <xdr:col>3</xdr:col>
          <xdr:colOff>1381125</xdr:colOff>
          <xdr:row>10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12</xdr:row>
          <xdr:rowOff>19050</xdr:rowOff>
        </xdr:from>
        <xdr:to>
          <xdr:col>3</xdr:col>
          <xdr:colOff>1276350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12</xdr:row>
          <xdr:rowOff>19050</xdr:rowOff>
        </xdr:from>
        <xdr:to>
          <xdr:col>6</xdr:col>
          <xdr:colOff>381000</xdr:colOff>
          <xdr:row>13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Снять 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15</xdr:row>
          <xdr:rowOff>9525</xdr:rowOff>
        </xdr:from>
        <xdr:to>
          <xdr:col>4</xdr:col>
          <xdr:colOff>0</xdr:colOff>
          <xdr:row>16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график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19"/>
  <sheetViews>
    <sheetView tabSelected="1" workbookViewId="0">
      <selection activeCell="G18" sqref="G18"/>
    </sheetView>
  </sheetViews>
  <sheetFormatPr defaultRowHeight="15" x14ac:dyDescent="0.25"/>
  <cols>
    <col min="4" max="4" width="26.5703125" customWidth="1"/>
  </cols>
  <sheetData>
    <row r="1" spans="1:7" ht="24" customHeight="1" x14ac:dyDescent="0.25">
      <c r="A1" s="4" t="s">
        <v>8</v>
      </c>
      <c r="B1" s="4"/>
      <c r="C1" s="4"/>
      <c r="D1" s="4"/>
      <c r="E1" s="4"/>
      <c r="F1" s="4"/>
      <c r="G1" s="4"/>
    </row>
    <row r="2" spans="1:7" ht="15.75" x14ac:dyDescent="0.25">
      <c r="A2" s="1" t="s">
        <v>0</v>
      </c>
      <c r="B2" s="1" t="s">
        <v>1</v>
      </c>
      <c r="C2" s="2"/>
      <c r="D2" s="5" t="s">
        <v>2</v>
      </c>
      <c r="E2" s="5"/>
      <c r="F2" s="2"/>
      <c r="G2" s="2"/>
    </row>
    <row r="3" spans="1:7" ht="15.75" x14ac:dyDescent="0.25">
      <c r="A3" s="3">
        <f>$E$3</f>
        <v>-3.1415926535897931</v>
      </c>
      <c r="B3" s="3"/>
      <c r="C3" s="2"/>
      <c r="D3" s="3" t="s">
        <v>3</v>
      </c>
      <c r="E3" s="3">
        <f>-PI()</f>
        <v>-3.1415926535897931</v>
      </c>
      <c r="F3" s="2"/>
      <c r="G3" s="2"/>
    </row>
    <row r="4" spans="1:7" ht="15.75" x14ac:dyDescent="0.25">
      <c r="A4" s="3">
        <f>$E$3+$E$4</f>
        <v>-2.748893571891069</v>
      </c>
      <c r="B4" s="3"/>
      <c r="C4" s="2"/>
      <c r="D4" s="3" t="s">
        <v>4</v>
      </c>
      <c r="E4" s="3">
        <f>PI()/8</f>
        <v>0.39269908169872414</v>
      </c>
      <c r="F4" s="2"/>
      <c r="G4" s="2"/>
    </row>
    <row r="5" spans="1:7" ht="15.75" x14ac:dyDescent="0.25">
      <c r="A5" s="3">
        <f>$E$3+2*$E$4</f>
        <v>-2.3561944901923448</v>
      </c>
      <c r="B5" s="3"/>
      <c r="C5" s="2"/>
      <c r="D5" s="2"/>
      <c r="E5" s="2"/>
      <c r="F5" s="2"/>
      <c r="G5" s="2"/>
    </row>
    <row r="6" spans="1:7" ht="15.75" x14ac:dyDescent="0.25">
      <c r="A6" s="3">
        <f>$E$3+3*$E$4</f>
        <v>-1.9634954084936207</v>
      </c>
      <c r="B6" s="3"/>
      <c r="C6" s="2"/>
      <c r="D6" s="6" t="s">
        <v>5</v>
      </c>
      <c r="E6" s="6"/>
      <c r="F6" s="2"/>
      <c r="G6" s="2"/>
    </row>
    <row r="7" spans="1:7" ht="15.75" x14ac:dyDescent="0.25">
      <c r="A7" s="3">
        <f>$E$3+4*$E$4</f>
        <v>-1.5707963267948966</v>
      </c>
      <c r="B7" s="3"/>
      <c r="C7" s="2"/>
      <c r="D7" s="3" t="s">
        <v>6</v>
      </c>
      <c r="E7" s="3">
        <f>COUNT(B3:B19)</f>
        <v>0</v>
      </c>
      <c r="F7" s="2"/>
      <c r="G7" s="2"/>
    </row>
    <row r="8" spans="1:7" ht="15.75" x14ac:dyDescent="0.25">
      <c r="A8" s="3">
        <f>$E$3+5*$E$4</f>
        <v>-1.1780972450961724</v>
      </c>
      <c r="B8" s="3"/>
      <c r="C8" s="2"/>
      <c r="D8" s="3" t="s">
        <v>7</v>
      </c>
      <c r="E8" s="3">
        <f>PRODUCT(B3:B19)</f>
        <v>0</v>
      </c>
      <c r="F8" s="2"/>
      <c r="G8" s="2"/>
    </row>
    <row r="9" spans="1:7" ht="15.75" x14ac:dyDescent="0.25">
      <c r="A9" s="3">
        <f>$E$3+6*$E$4</f>
        <v>-0.78539816339744828</v>
      </c>
      <c r="B9" s="3"/>
      <c r="C9" s="2"/>
      <c r="D9" s="2"/>
      <c r="E9" s="2"/>
      <c r="F9" s="2"/>
      <c r="G9" s="2"/>
    </row>
    <row r="10" spans="1:7" ht="15.75" x14ac:dyDescent="0.25">
      <c r="A10" s="3">
        <f>$E$3+7*$E$4</f>
        <v>-0.39269908169872414</v>
      </c>
      <c r="B10" s="3"/>
      <c r="C10" s="2"/>
      <c r="D10" s="2"/>
      <c r="E10" s="2"/>
      <c r="F10" s="2"/>
      <c r="G10" s="2"/>
    </row>
    <row r="11" spans="1:7" ht="15.75" x14ac:dyDescent="0.25">
      <c r="A11" s="3">
        <f>$E$3+8*$E$4</f>
        <v>0</v>
      </c>
      <c r="B11" s="3"/>
      <c r="C11" s="2"/>
      <c r="D11" s="2"/>
      <c r="E11" s="2"/>
      <c r="F11" s="2"/>
      <c r="G11" s="2"/>
    </row>
    <row r="12" spans="1:7" ht="15.75" x14ac:dyDescent="0.25">
      <c r="A12" s="3">
        <f>$E$3+9*$E$4</f>
        <v>0.39269908169872414</v>
      </c>
      <c r="B12" s="3"/>
      <c r="C12" s="2"/>
      <c r="D12" s="2"/>
      <c r="E12" s="2"/>
      <c r="F12" s="2"/>
      <c r="G12" s="2"/>
    </row>
    <row r="13" spans="1:7" ht="15.75" x14ac:dyDescent="0.25">
      <c r="A13" s="3">
        <f>$E$3+10*$E$4</f>
        <v>0.78539816339744828</v>
      </c>
      <c r="B13" s="3"/>
      <c r="C13" s="2"/>
      <c r="D13" s="2"/>
      <c r="E13" s="2"/>
      <c r="F13" s="2"/>
      <c r="G13" s="2"/>
    </row>
    <row r="14" spans="1:7" ht="15.75" x14ac:dyDescent="0.25">
      <c r="A14" s="3">
        <f>$E$3+11*$E$4</f>
        <v>1.178097245096172</v>
      </c>
      <c r="B14" s="3"/>
      <c r="C14" s="2"/>
      <c r="D14" s="2"/>
      <c r="E14" s="2"/>
      <c r="F14" s="2"/>
      <c r="G14" s="2"/>
    </row>
    <row r="15" spans="1:7" ht="15.75" x14ac:dyDescent="0.25">
      <c r="A15" s="3">
        <f>$E$3+12*$E$4</f>
        <v>1.5707963267948966</v>
      </c>
      <c r="B15" s="3"/>
      <c r="C15" s="2"/>
      <c r="D15" s="2"/>
      <c r="E15" s="2"/>
      <c r="F15" s="2"/>
      <c r="G15" s="2"/>
    </row>
    <row r="16" spans="1:7" ht="15.75" x14ac:dyDescent="0.25">
      <c r="A16" s="3">
        <f>$E$3+13*$E$4</f>
        <v>1.9634954084936211</v>
      </c>
      <c r="B16" s="3"/>
      <c r="C16" s="2"/>
      <c r="D16" s="2"/>
      <c r="E16" s="2"/>
      <c r="F16" s="2"/>
      <c r="G16" s="2"/>
    </row>
    <row r="17" spans="1:7" ht="15.75" x14ac:dyDescent="0.25">
      <c r="A17" s="3">
        <f>$E$3+14*$E$4</f>
        <v>2.3561944901923448</v>
      </c>
      <c r="B17" s="3"/>
      <c r="C17" s="2"/>
      <c r="D17" s="2"/>
      <c r="E17" s="2"/>
      <c r="F17" s="2"/>
      <c r="G17" s="2"/>
    </row>
    <row r="18" spans="1:7" ht="15.75" x14ac:dyDescent="0.25">
      <c r="A18" s="3">
        <f>$E$3+15*$E$4</f>
        <v>2.7488935718910685</v>
      </c>
      <c r="B18" s="3"/>
      <c r="C18" s="2"/>
      <c r="D18" s="2"/>
      <c r="E18" s="2"/>
      <c r="F18" s="2"/>
      <c r="G18" s="2"/>
    </row>
    <row r="19" spans="1:7" ht="15.75" x14ac:dyDescent="0.25">
      <c r="A19" s="3">
        <f>$E$3+16*$E$4</f>
        <v>3.1415926535897931</v>
      </c>
      <c r="B19" s="3"/>
      <c r="C19" s="2"/>
      <c r="D19" s="2"/>
      <c r="E19" s="2"/>
      <c r="F19" s="2"/>
      <c r="G19" s="2"/>
    </row>
  </sheetData>
  <mergeCells count="3">
    <mergeCell ref="A1:G1"/>
    <mergeCell ref="D2:E2"/>
    <mergeCell ref="D6:E6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9525</xdr:colOff>
                    <xdr:row>9</xdr:row>
                    <xdr:rowOff>38100</xdr:rowOff>
                  </from>
                  <to>
                    <xdr:col>3</xdr:col>
                    <xdr:colOff>1381125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Форматировать">
                <anchor moveWithCells="1" sizeWithCells="1">
                  <from>
                    <xdr:col>3</xdr:col>
                    <xdr:colOff>19050</xdr:colOff>
                    <xdr:row>12</xdr:row>
                    <xdr:rowOff>19050</xdr:rowOff>
                  </from>
                  <to>
                    <xdr:col>3</xdr:col>
                    <xdr:colOff>1276350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СнятьФорматирование">
                <anchor moveWithCells="1" sizeWithCells="1">
                  <from>
                    <xdr:col>4</xdr:col>
                    <xdr:colOff>114300</xdr:colOff>
                    <xdr:row>12</xdr:row>
                    <xdr:rowOff>19050</xdr:rowOff>
                  </from>
                  <to>
                    <xdr:col>6</xdr:col>
                    <xdr:colOff>381000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ТаблицуСделать">
                <anchor moveWithCells="1" sizeWithCells="1">
                  <from>
                    <xdr:col>3</xdr:col>
                    <xdr:colOff>19050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Задание №5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2023-07-03T16:14:05Z</dcterms:created>
  <dcterms:modified xsi:type="dcterms:W3CDTF">2023-07-04T04:37:16Z</dcterms:modified>
</cp:coreProperties>
</file>